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<sst xmlns="http://schemas.openxmlformats.org/spreadsheetml/2006/main" count="30" uniqueCount="20">
  <si>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X0</t>
  </si>
  <si>
    <t>X1</t>
  </si>
  <si>
    <t>iter</t>
  </si>
  <si>
    <t>grid</t>
  </si>
  <si>
    <t>accurete</t>
  </si>
  <si>
    <t>candidate</t>
  </si>
  <si>
    <t>skip-X0</t>
  </si>
  <si>
    <t>skip-X1</t>
  </si>
  <si>
    <t>total</t>
  </si>
  <si>
    <t>a-ratio</t>
  </si>
  <si>
    <t>c-ratio</t>
  </si>
  <si>
    <t>f-ratio</t>
  </si>
  <si>
    <t>C</t>
  </si>
  <si>
    <t>B</t>
  </si>
  <si>
    <t>x</t>
  </si>
  <si>
    <t>y</t>
  </si>
  <si>
    <t>z</t>
  </si>
  <si>
    <t>N-x</t>
  </si>
  <si>
    <t>N-y</t>
  </si>
  <si>
    <t>N-z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</si>
</sst>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zoomScale="115" zoomScaleNormal="115" workbookViewId="0">
      <selection activeCell="J19" sqref="J19"/>
    </sheetView>
  </sheetViews>
  <sheetFormatPr defaultColWidth="9" defaultRowHeight="13.5"/>
  <cols>
    <col min="1" max="2" width="5.53097345132743" style="1" customWidth="1"/>
    <col min="3" max="3" width="9" style="1"/>
    <col min="4" max="4" width="10.5929203539823" style="1" customWidth="1"/>
    <col min="5" max="5" width="6.53097345132743" style="1" customWidth="1"/>
    <col min="6" max="6" width="9" style="1"/>
    <col min="7" max="7" width="8.53097345132743" style="1" customWidth="1"/>
    <col min="8" max="8" width="6.53097345132743" style="1" customWidth="1"/>
    <col min="9" max="9" width="9" style="1"/>
    <col min="10" max="10" width="12.7964601769912" style="1" customWidth="1"/>
    <col min="11" max="11" width="12.7964601769912" style="1"/>
    <col min="12" max="12" width="12.7964601769912" style="1" customWidth="1"/>
    <col min="13" max="16384" width="9" style="1"/>
  </cols>
  <sheetData>
    <row r="1" spans="1:2">
      <c r="A1" s="1" t="s">
        <v>0</v>
      </c>
      <c r="B1" s="1" t="s">
        <v>1</v>
      </c>
    </row>
    <row r="2" spans="1:12">
      <c r="A2" s="1" t="s">
        <v>2</v>
      </c>
      <c r="B2" s="1" t="s">
        <v>3</v>
      </c>
      <c r="C2" s="1" t="s">
        <v>4</v>
      </c>
      <c r="D2" s="1" t="s">
        <v>5</v>
      </c>
      <c r="E2" s="1" t="b">
        <v>0</v>
      </c>
      <c r="F2" s="1" t="s">
        <v>6</v>
      </c>
      <c r="G2" s="1" t="s">
        <v>7</v>
      </c>
      <c r="H2" s="1" t="s">
        <v>8</v>
      </c>
      <c r="J2" s="1" t="s">
        <v>9</v>
      </c>
      <c r="K2" s="1" t="s">
        <v>10</v>
      </c>
      <c r="L2" s="1" t="s">
        <v>11</v>
      </c>
    </row>
    <row r="3" spans="1:12">
      <c r="A3" s="1">
        <v>1</v>
      </c>
      <c r="B3" s="1">
        <v>0.5</v>
      </c>
      <c r="C3" s="1">
        <v>65</v>
      </c>
      <c r="D3" s="1">
        <v>161</v>
      </c>
      <c r="E3" s="1">
        <v>218</v>
      </c>
      <c r="F3" s="1">
        <v>44</v>
      </c>
      <c r="G3" s="1">
        <v>16</v>
      </c>
      <c r="H3" s="1">
        <f>C3+D3+E3+F3+G3</f>
        <v>504</v>
      </c>
      <c r="J3" s="1">
        <f t="shared" ref="J3:J10" si="0">C3/(C3+D3+E3)</f>
        <v>0.146396396396396</v>
      </c>
      <c r="K3" s="1">
        <f t="shared" ref="K3:K10" si="1">D3/(C3+D3+E3)</f>
        <v>0.362612612612613</v>
      </c>
      <c r="L3" s="1">
        <f t="shared" ref="L3:L10" si="2">E3/(C3+D3+E3)</f>
        <v>0.490990990990991</v>
      </c>
    </row>
    <row r="4" spans="1:12">
      <c r="A4" s="1">
        <v>2</v>
      </c>
      <c r="B4" s="1">
        <v>0.5</v>
      </c>
      <c r="C4" s="1">
        <v>150</v>
      </c>
      <c r="D4" s="1">
        <v>122</v>
      </c>
      <c r="E4" s="1">
        <v>174</v>
      </c>
      <c r="F4" s="1">
        <v>42</v>
      </c>
      <c r="G4" s="1">
        <v>16</v>
      </c>
      <c r="H4" s="1">
        <f t="shared" ref="H3:H10" si="3">C4+D4+E4+F4+G4</f>
        <v>504</v>
      </c>
      <c r="J4" s="1">
        <f t="shared" si="0"/>
        <v>0.336322869955157</v>
      </c>
      <c r="K4" s="1">
        <f t="shared" si="1"/>
        <v>0.273542600896861</v>
      </c>
      <c r="L4" s="1">
        <f t="shared" si="2"/>
        <v>0.390134529147982</v>
      </c>
    </row>
    <row r="5" spans="1:12">
      <c r="A5" s="1">
        <v>3</v>
      </c>
      <c r="B5" s="1">
        <v>0.4</v>
      </c>
      <c r="C5" s="1">
        <v>460</v>
      </c>
      <c r="D5" s="1">
        <v>262</v>
      </c>
      <c r="E5" s="1">
        <v>171</v>
      </c>
      <c r="F5" s="1">
        <v>83</v>
      </c>
      <c r="G5" s="1">
        <v>32</v>
      </c>
      <c r="H5" s="1">
        <f t="shared" si="3"/>
        <v>1008</v>
      </c>
      <c r="J5" s="1">
        <f t="shared" si="0"/>
        <v>0.51511758118701</v>
      </c>
      <c r="K5" s="1">
        <f t="shared" si="1"/>
        <v>0.293393057110862</v>
      </c>
      <c r="L5" s="1">
        <f t="shared" si="2"/>
        <v>0.191489361702128</v>
      </c>
    </row>
    <row r="6" spans="1:12">
      <c r="A6" s="1">
        <v>4</v>
      </c>
      <c r="B6" s="1">
        <v>0.4</v>
      </c>
      <c r="C6" s="1">
        <v>657</v>
      </c>
      <c r="D6" s="1">
        <v>105</v>
      </c>
      <c r="E6" s="1">
        <v>131</v>
      </c>
      <c r="F6" s="1">
        <v>83</v>
      </c>
      <c r="G6" s="1">
        <v>32</v>
      </c>
      <c r="H6" s="1">
        <f t="shared" si="3"/>
        <v>1008</v>
      </c>
      <c r="J6" s="1">
        <f t="shared" si="0"/>
        <v>0.735722284434491</v>
      </c>
      <c r="K6" s="1">
        <f t="shared" si="1"/>
        <v>0.117581187010078</v>
      </c>
      <c r="L6" s="1">
        <f t="shared" si="2"/>
        <v>0.146696528555431</v>
      </c>
    </row>
    <row r="7" spans="1:12">
      <c r="A7" s="1">
        <v>5</v>
      </c>
      <c r="B7" s="1">
        <v>0.3</v>
      </c>
      <c r="C7" s="1">
        <v>1126</v>
      </c>
      <c r="D7" s="1">
        <v>253</v>
      </c>
      <c r="E7" s="1">
        <v>168</v>
      </c>
      <c r="F7" s="1">
        <v>151</v>
      </c>
      <c r="G7" s="1">
        <v>62</v>
      </c>
      <c r="H7" s="1">
        <f t="shared" si="3"/>
        <v>1760</v>
      </c>
      <c r="J7" s="1">
        <f t="shared" si="0"/>
        <v>0.727860374919198</v>
      </c>
      <c r="K7" s="1">
        <f t="shared" si="1"/>
        <v>0.163542340012928</v>
      </c>
      <c r="L7" s="1">
        <f t="shared" si="2"/>
        <v>0.108597285067873</v>
      </c>
    </row>
    <row r="8" spans="1:12">
      <c r="A8" s="1">
        <v>6</v>
      </c>
      <c r="B8" s="1">
        <v>0.25</v>
      </c>
      <c r="C8" s="1">
        <v>2067</v>
      </c>
      <c r="D8" s="1">
        <v>324</v>
      </c>
      <c r="E8" s="1">
        <v>176</v>
      </c>
      <c r="F8" s="1">
        <v>217</v>
      </c>
      <c r="G8" s="1">
        <v>76</v>
      </c>
      <c r="H8" s="1">
        <f t="shared" si="3"/>
        <v>2860</v>
      </c>
      <c r="J8" s="1">
        <f t="shared" si="0"/>
        <v>0.805220101285547</v>
      </c>
      <c r="K8" s="1">
        <f t="shared" si="1"/>
        <v>0.126217374366965</v>
      </c>
      <c r="L8" s="1">
        <f t="shared" si="2"/>
        <v>0.0685625243474873</v>
      </c>
    </row>
    <row r="9" spans="1:12">
      <c r="A9" s="1">
        <v>7</v>
      </c>
      <c r="B9" s="1">
        <v>0.2</v>
      </c>
      <c r="C9" s="1">
        <v>4113</v>
      </c>
      <c r="D9" s="1">
        <v>393</v>
      </c>
      <c r="E9" s="1">
        <v>266</v>
      </c>
      <c r="F9" s="1">
        <v>436</v>
      </c>
      <c r="G9" s="1">
        <v>168</v>
      </c>
      <c r="H9" s="1">
        <f t="shared" si="3"/>
        <v>5376</v>
      </c>
      <c r="J9" s="1">
        <f t="shared" si="0"/>
        <v>0.861902766135792</v>
      </c>
      <c r="K9" s="1">
        <f t="shared" si="1"/>
        <v>0.0823554065381392</v>
      </c>
      <c r="L9" s="1">
        <f t="shared" si="2"/>
        <v>0.0557418273260687</v>
      </c>
    </row>
    <row r="10" spans="1:12">
      <c r="A10" s="1">
        <v>8</v>
      </c>
      <c r="B10" s="1">
        <v>0.2</v>
      </c>
      <c r="C10" s="1">
        <v>4316</v>
      </c>
      <c r="D10" s="1">
        <v>254</v>
      </c>
      <c r="E10" s="1">
        <v>197</v>
      </c>
      <c r="F10" s="1">
        <v>436</v>
      </c>
      <c r="G10" s="1">
        <v>173</v>
      </c>
      <c r="H10" s="1">
        <f t="shared" si="3"/>
        <v>5376</v>
      </c>
      <c r="J10" s="1">
        <f t="shared" si="0"/>
        <v>0.905391231382421</v>
      </c>
      <c r="K10" s="1">
        <f t="shared" si="1"/>
        <v>0.053282987203692</v>
      </c>
      <c r="L10" s="1">
        <f t="shared" si="2"/>
        <v>0.0413257814138871</v>
      </c>
    </row>
    <row r="12" spans="1:2">
      <c r="A12" s="1" t="s">
        <v>12</v>
      </c>
      <c r="B12" s="1" t="s">
        <v>13</v>
      </c>
    </row>
    <row r="13" spans="1:12">
      <c r="A13" s="1" t="s">
        <v>2</v>
      </c>
      <c r="B13" s="1" t="s">
        <v>3</v>
      </c>
      <c r="C13" s="1" t="s">
        <v>4</v>
      </c>
      <c r="D13" s="1" t="s">
        <v>5</v>
      </c>
      <c r="E13" s="1" t="b">
        <v>0</v>
      </c>
      <c r="F13" s="1" t="s">
        <v>6</v>
      </c>
      <c r="G13" s="1" t="s">
        <v>7</v>
      </c>
      <c r="H13" s="1" t="s">
        <v>8</v>
      </c>
      <c r="J13" s="1" t="s">
        <v>9</v>
      </c>
      <c r="K13" s="1" t="s">
        <v>10</v>
      </c>
      <c r="L13" s="1" t="s">
        <v>11</v>
      </c>
    </row>
    <row r="14" spans="1:12">
      <c r="A14" s="1">
        <v>9</v>
      </c>
      <c r="B14" s="1">
        <v>0.25</v>
      </c>
      <c r="C14" s="1">
        <v>404</v>
      </c>
      <c r="D14" s="1">
        <v>286</v>
      </c>
      <c r="E14" s="1">
        <v>100</v>
      </c>
      <c r="F14" s="1">
        <v>78</v>
      </c>
      <c r="G14" s="1">
        <v>14</v>
      </c>
      <c r="H14" s="1">
        <f t="shared" ref="H14:H16" si="4">C14+D14+E14+F14+G14</f>
        <v>882</v>
      </c>
      <c r="J14" s="1">
        <f t="shared" ref="J14:J16" si="5">C14/(C14+D14+E14)</f>
        <v>0.511392405063291</v>
      </c>
      <c r="K14" s="1">
        <f t="shared" ref="K14:K16" si="6">D14/(C14+D14+E14)</f>
        <v>0.362025316455696</v>
      </c>
      <c r="L14" s="1">
        <f t="shared" ref="L14:L16" si="7">E14/(C14+D14+E14)</f>
        <v>0.126582278481013</v>
      </c>
    </row>
    <row r="15" spans="1:12">
      <c r="A15" s="1">
        <v>10</v>
      </c>
      <c r="B15" s="1">
        <v>0.15</v>
      </c>
      <c r="C15" s="1">
        <v>2777</v>
      </c>
      <c r="D15" s="1">
        <v>282</v>
      </c>
      <c r="E15" s="1">
        <v>218</v>
      </c>
      <c r="F15" s="1">
        <v>300</v>
      </c>
      <c r="G15" s="1">
        <v>53</v>
      </c>
      <c r="H15" s="1">
        <f t="shared" si="4"/>
        <v>3630</v>
      </c>
      <c r="J15" s="1">
        <f t="shared" si="5"/>
        <v>0.847421422032347</v>
      </c>
      <c r="K15" s="1">
        <f t="shared" si="6"/>
        <v>0.0860543179737565</v>
      </c>
      <c r="L15" s="1">
        <f t="shared" si="7"/>
        <v>0.0665242599938969</v>
      </c>
    </row>
    <row r="16" spans="1:12">
      <c r="A16" s="1">
        <v>11</v>
      </c>
      <c r="B16" s="1">
        <v>0.15</v>
      </c>
      <c r="C16" s="1">
        <v>3022</v>
      </c>
      <c r="D16" s="1">
        <v>126</v>
      </c>
      <c r="E16" s="1">
        <v>129</v>
      </c>
      <c r="F16" s="1">
        <v>300</v>
      </c>
      <c r="G16" s="1">
        <v>53</v>
      </c>
      <c r="H16" s="1">
        <f t="shared" si="4"/>
        <v>3630</v>
      </c>
      <c r="J16" s="1">
        <f t="shared" si="5"/>
        <v>0.922184925236497</v>
      </c>
      <c r="K16" s="1">
        <f t="shared" si="6"/>
        <v>0.0384498016478486</v>
      </c>
      <c r="L16" s="1">
        <f t="shared" si="7"/>
        <v>0.0393652731156546</v>
      </c>
    </row>
    <row r="18" spans="2:7">
      <c r="B18" s="1" t="s">
        <v>14</v>
      </c>
      <c r="C18" s="1" t="s">
        <v>15</v>
      </c>
      <c r="D18" s="1" t="s">
        <v>16</v>
      </c>
      <c r="E18" s="1" t="s">
        <v>17</v>
      </c>
      <c r="F18" s="1" t="s">
        <v>18</v>
      </c>
      <c r="G18" s="1" t="s">
        <v>19</v>
      </c>
    </row>
    <row r="19" spans="1:8">
      <c r="A19" s="1">
        <v>0.2</v>
      </c>
      <c r="B19" s="1">
        <f t="shared" ref="B19:B23" si="8">2.8/A19</f>
        <v>14</v>
      </c>
      <c r="C19" s="1">
        <f t="shared" ref="C19:C23" si="9">2.5/A19</f>
        <v>12.5</v>
      </c>
      <c r="D19" s="1">
        <f t="shared" ref="D19:D23" si="10">2/A19</f>
        <v>10</v>
      </c>
      <c r="E19" s="1">
        <v>16</v>
      </c>
      <c r="F19" s="1">
        <v>14</v>
      </c>
      <c r="G19" s="1">
        <v>12</v>
      </c>
      <c r="H19" s="1">
        <f>E19*F19*G19</f>
        <v>2688</v>
      </c>
    </row>
    <row r="20" spans="1:8">
      <c r="A20" s="1">
        <v>0.25</v>
      </c>
      <c r="B20" s="1">
        <f t="shared" si="8"/>
        <v>11.2</v>
      </c>
      <c r="C20" s="1">
        <f t="shared" si="9"/>
        <v>10</v>
      </c>
      <c r="D20" s="1">
        <f t="shared" si="10"/>
        <v>8</v>
      </c>
      <c r="E20" s="1">
        <v>13</v>
      </c>
      <c r="F20" s="1">
        <v>11</v>
      </c>
      <c r="G20" s="1">
        <v>10</v>
      </c>
      <c r="H20" s="1">
        <f>E20*F20*G20</f>
        <v>1430</v>
      </c>
    </row>
    <row r="21" spans="1:8">
      <c r="A21" s="1">
        <v>0.3</v>
      </c>
      <c r="B21" s="1">
        <f t="shared" si="8"/>
        <v>9.33333333333333</v>
      </c>
      <c r="C21" s="1">
        <f t="shared" si="9"/>
        <v>8.33333333333333</v>
      </c>
      <c r="D21" s="1">
        <f t="shared" si="10"/>
        <v>6.66666666666667</v>
      </c>
      <c r="E21" s="1">
        <v>11</v>
      </c>
      <c r="F21" s="1">
        <v>10</v>
      </c>
      <c r="G21" s="1">
        <v>8</v>
      </c>
      <c r="H21" s="1">
        <f t="shared" ref="H21:H29" si="11">E21*F21*G21</f>
        <v>880</v>
      </c>
    </row>
    <row r="22" spans="1:8">
      <c r="A22" s="1">
        <v>0.4</v>
      </c>
      <c r="B22" s="1">
        <f t="shared" si="8"/>
        <v>7</v>
      </c>
      <c r="C22" s="1">
        <f t="shared" si="9"/>
        <v>6.25</v>
      </c>
      <c r="D22" s="1">
        <f t="shared" si="10"/>
        <v>5</v>
      </c>
      <c r="E22" s="1">
        <v>8</v>
      </c>
      <c r="F22" s="1">
        <v>8</v>
      </c>
      <c r="G22" s="1">
        <v>6</v>
      </c>
      <c r="H22" s="1">
        <f t="shared" si="11"/>
        <v>384</v>
      </c>
    </row>
    <row r="23" spans="1:8">
      <c r="A23" s="1">
        <v>0.5</v>
      </c>
      <c r="B23" s="1">
        <f t="shared" si="8"/>
        <v>5.6</v>
      </c>
      <c r="C23" s="1">
        <f t="shared" si="9"/>
        <v>5</v>
      </c>
      <c r="D23" s="1">
        <f t="shared" si="10"/>
        <v>4</v>
      </c>
      <c r="E23" s="1">
        <v>7</v>
      </c>
      <c r="F23" s="1">
        <v>6</v>
      </c>
      <c r="G23" s="1">
        <v>5</v>
      </c>
      <c r="H23" s="1">
        <f t="shared" si="11"/>
        <v>210</v>
      </c>
    </row>
    <row r="26" spans="1:8">
      <c r="A26" s="1">
        <v>0.3</v>
      </c>
      <c r="B26" s="1">
        <v>7</v>
      </c>
      <c r="C26" s="1">
        <v>5</v>
      </c>
      <c r="D26" s="1">
        <v>5</v>
      </c>
      <c r="E26" s="1">
        <v>8</v>
      </c>
      <c r="F26" s="1">
        <v>6</v>
      </c>
      <c r="G26" s="1">
        <v>6</v>
      </c>
      <c r="H26" s="1">
        <f t="shared" si="11"/>
        <v>288</v>
      </c>
    </row>
    <row r="27" spans="1:8">
      <c r="A27" s="1">
        <v>0.25</v>
      </c>
      <c r="B27" s="1">
        <v>8</v>
      </c>
      <c r="C27" s="1">
        <v>6</v>
      </c>
      <c r="D27" s="1">
        <v>6</v>
      </c>
      <c r="E27" s="1">
        <v>9</v>
      </c>
      <c r="F27" s="1">
        <v>7</v>
      </c>
      <c r="G27" s="1">
        <v>7</v>
      </c>
      <c r="H27" s="1">
        <f t="shared" si="11"/>
        <v>441</v>
      </c>
    </row>
    <row r="28" spans="1:8">
      <c r="A28" s="1">
        <v>0.2</v>
      </c>
      <c r="B28" s="1">
        <v>10</v>
      </c>
      <c r="C28" s="1">
        <v>8</v>
      </c>
      <c r="D28" s="1">
        <v>8</v>
      </c>
      <c r="E28" s="1">
        <v>11</v>
      </c>
      <c r="F28" s="1">
        <v>9</v>
      </c>
      <c r="G28" s="1">
        <v>9</v>
      </c>
      <c r="H28" s="1">
        <f t="shared" si="11"/>
        <v>891</v>
      </c>
    </row>
    <row r="29" spans="1:8">
      <c r="A29" s="1">
        <v>0.15</v>
      </c>
      <c r="B29" s="1">
        <v>14</v>
      </c>
      <c r="C29" s="1">
        <v>10</v>
      </c>
      <c r="D29" s="1">
        <v>10</v>
      </c>
      <c r="E29" s="1">
        <v>15</v>
      </c>
      <c r="F29" s="1">
        <v>11</v>
      </c>
      <c r="G29" s="1">
        <v>11</v>
      </c>
      <c r="H29" s="1">
        <f t="shared" si="11"/>
        <v>1815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周涛</dc:creator>
  <cp:lastModifiedBy>冷雨暖人心</cp:lastModifiedBy>
  <dcterms:created xsi:type="dcterms:W3CDTF">2023-05-12T11:15:00Z</dcterms:created>
  <dcterms:modified xsi:type="dcterms:W3CDTF">2025-10-04T02:17:15Z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B4E318A1B84C4D3BB03B95BE0B54EBDA_12</vt:lpwstr>
  </property>
</Properties>
</file>